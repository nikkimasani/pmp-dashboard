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c76176e2c89883/Desktop/Teaching Files Mike/Supporting Materials/"/>
    </mc:Choice>
  </mc:AlternateContent>
  <xr:revisionPtr revIDLastSave="7" documentId="13_ncr:1_{433F1014-37C7-4293-9581-7ACAA9050E68}" xr6:coauthVersionLast="47" xr6:coauthVersionMax="47" xr10:uidLastSave="{C4EDD57E-E004-4FE2-BEFB-602FB49CEED9}"/>
  <bookViews>
    <workbookView xWindow="-120" yWindow="-120" windowWidth="29040" windowHeight="15840" tabRatio="854" xr2:uid="{00000000-000D-0000-FFFF-FFFF00000000}"/>
  </bookViews>
  <sheets>
    <sheet name="RR" sheetId="40" r:id="rId1"/>
    <sheet name="Risk Allocation" sheetId="37" state="hidden" r:id="rId2"/>
  </sheets>
  <definedNames>
    <definedName name="Construction">#REF!</definedName>
    <definedName name="Design">#REF!</definedName>
    <definedName name="Design_construction">#REF!</definedName>
    <definedName name="Environmental">#REF!</definedName>
    <definedName name="External">#REF!</definedName>
    <definedName name="Maint_Ops">#REF!</definedName>
    <definedName name="Operations_Maintenance">#REF!</definedName>
    <definedName name="Organizational">#REF!</definedName>
    <definedName name="Planning_Preliminary_Eng">#REF!</definedName>
    <definedName name="PM">#REF!</definedName>
    <definedName name="program_procurement">#REF!</definedName>
    <definedName name="Proj_Phase_List">#REF!</definedName>
    <definedName name="Proj_Phases">#REF!</definedName>
    <definedName name="Railroad">#REF!</definedName>
    <definedName name="ROW">#REF!</definedName>
    <definedName name="Utilities">#REF!</definedName>
  </definedNames>
  <calcPr calcId="191029"/>
  <customWorkbookViews>
    <customWorkbookView name="Condensed Register" guid="{426594F0-BD78-494B-83F5-6715BCF3F934}" maximized="1" windowWidth="1280" windowHeight="838" tabRatio="673" activeSheetId="32"/>
    <customWorkbookView name="Full Register" guid="{AAE5F1F5-23DF-4A1C-A14D-1A683FBAD0A0}" maximized="1" windowWidth="1280" windowHeight="838" tabRatio="673" activeSheetId="3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40" l="1"/>
  <c r="N5" i="40"/>
  <c r="N3" i="40"/>
  <c r="M4" i="40"/>
  <c r="M6" i="40" s="1"/>
  <c r="M5" i="40"/>
  <c r="M3" i="40"/>
  <c r="N6" i="40" l="1"/>
</calcChain>
</file>

<file path=xl/sharedStrings.xml><?xml version="1.0" encoding="utf-8"?>
<sst xmlns="http://schemas.openxmlformats.org/spreadsheetml/2006/main" count="88" uniqueCount="76">
  <si>
    <t>Mitigate</t>
  </si>
  <si>
    <t>Avoid</t>
  </si>
  <si>
    <t>Status</t>
  </si>
  <si>
    <t>PM</t>
  </si>
  <si>
    <t>Detailed Description</t>
  </si>
  <si>
    <t>Response</t>
  </si>
  <si>
    <t>Risk Name</t>
  </si>
  <si>
    <t>Risk Owner</t>
  </si>
  <si>
    <t xml:space="preserve"> </t>
  </si>
  <si>
    <t>#</t>
  </si>
  <si>
    <t>Date Last Updated</t>
  </si>
  <si>
    <t>Outdated Microsoft Exchange</t>
  </si>
  <si>
    <t>T</t>
  </si>
  <si>
    <t>Lightning Interface</t>
  </si>
  <si>
    <t>As a result of having an outdated version of Microsoft Exchange, failure to automatically email customers may occur, which would lead to frustrated customers and missed sales opportunities.</t>
  </si>
  <si>
    <t>Risk Strategy</t>
  </si>
  <si>
    <t>Risk Trigger</t>
  </si>
  <si>
    <t>As a result of our implementation partner being acquired, less attention may be given to our organization's implementation, which would lead cost overruns and schedule delays.</t>
  </si>
  <si>
    <t>As a result of the Lightning Interface's release delay, full integration with our phone system may not be possible, which will lead to incomplete scope, cost overruns, and schedule delays.</t>
  </si>
  <si>
    <t>Implementation PartnerAcquired</t>
  </si>
  <si>
    <t>Implement new version of Exchange</t>
  </si>
  <si>
    <t>IT Manager</t>
  </si>
  <si>
    <t>Utilize new implementation partner</t>
  </si>
  <si>
    <t>Modify phone and Salesforce code</t>
  </si>
  <si>
    <t>Dir of App Dev</t>
  </si>
  <si>
    <t>None - Implementing Exchange</t>
  </si>
  <si>
    <t>Behind schedule more than 15%</t>
  </si>
  <si>
    <t>Announcement by Salesforce that Lightning will be delayed till Q2</t>
  </si>
  <si>
    <t>Impact $</t>
  </si>
  <si>
    <t>Plan Risk Responses</t>
  </si>
  <si>
    <t>RBS</t>
  </si>
  <si>
    <t>1.2.2</t>
  </si>
  <si>
    <t>1.5.1</t>
  </si>
  <si>
    <t>1.3.1</t>
  </si>
  <si>
    <t>O / T</t>
  </si>
  <si>
    <t>Risk Score</t>
  </si>
  <si>
    <t>Prob (%)</t>
  </si>
  <si>
    <t xml:space="preserve">Impact (Wks) </t>
  </si>
  <si>
    <t>Cont $</t>
  </si>
  <si>
    <t>Cont Wks</t>
  </si>
  <si>
    <t>Open</t>
  </si>
  <si>
    <t>Comments</t>
  </si>
  <si>
    <t>WBS</t>
  </si>
  <si>
    <t>Impact Wks</t>
  </si>
  <si>
    <t>Prob %</t>
  </si>
  <si>
    <t>20-30</t>
  </si>
  <si>
    <t>&lt; 20</t>
  </si>
  <si>
    <t>45-70</t>
  </si>
  <si>
    <t>&gt; 70</t>
  </si>
  <si>
    <t>200K-400K</t>
  </si>
  <si>
    <t>&gt; 400K</t>
  </si>
  <si>
    <t>50k-99K</t>
  </si>
  <si>
    <t>100k-199K</t>
  </si>
  <si>
    <t>&lt; 50K</t>
  </si>
  <si>
    <t>10-12</t>
  </si>
  <si>
    <t>2</t>
  </si>
  <si>
    <t>3</t>
  </si>
  <si>
    <t>4</t>
  </si>
  <si>
    <t>6</t>
  </si>
  <si>
    <t>Prob</t>
  </si>
  <si>
    <t>Impact</t>
  </si>
  <si>
    <t>6-9</t>
  </si>
  <si>
    <t>2-5</t>
  </si>
  <si>
    <t>&lt; 2</t>
  </si>
  <si>
    <t>&gt; 12</t>
  </si>
  <si>
    <t>Score</t>
  </si>
  <si>
    <t>31-45</t>
  </si>
  <si>
    <t>IDENTIFY RISK</t>
  </si>
  <si>
    <t>QUALITATIVE RISK ANALYSIS</t>
  </si>
  <si>
    <t>QUALITATIVE</t>
  </si>
  <si>
    <t>QUANTITATIVE</t>
  </si>
  <si>
    <t>PLAN RISK RESPONSES</t>
  </si>
  <si>
    <t>Definitions of Probability and Impact</t>
  </si>
  <si>
    <t>Probability and Impact Matrix</t>
  </si>
  <si>
    <t>16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</si>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</sst>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0_);[Red]\(0\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4"/>
      <color theme="1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</cellStyleXfs>
  <cellXfs count="95">
    <xf numFmtId="0" fontId="0" fillId="0" borderId="0" xfId="0"/>
    <xf numFmtId="0" fontId="0" fillId="0" borderId="0" xfId="0" applyFont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0" fillId="0" borderId="0" xfId="0"/>
    <xf numFmtId="0" fontId="0" fillId="0" borderId="0" xfId="0" applyFont="1" applyFill="1" applyAlignment="1" applyProtection="1">
      <alignment vertical="center"/>
    </xf>
    <xf numFmtId="164" fontId="6" fillId="0" borderId="1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Alignment="1" applyProtection="1">
      <alignment horizontal="center" vertical="center" wrapText="1"/>
    </xf>
    <xf numFmtId="49" fontId="1" fillId="0" borderId="0" xfId="0" applyNumberFormat="1" applyFont="1" applyAlignment="1"/>
    <xf numFmtId="49" fontId="6" fillId="0" borderId="5" xfId="0" applyNumberFormat="1" applyFont="1" applyFill="1" applyBorder="1" applyAlignment="1" applyProtection="1">
      <alignment horizontal="center" vertical="center" wrapText="1"/>
    </xf>
    <xf numFmtId="164" fontId="6" fillId="0" borderId="5" xfId="0" applyNumberFormat="1" applyFont="1" applyFill="1" applyBorder="1" applyAlignment="1" applyProtection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</xf>
    <xf numFmtId="49" fontId="8" fillId="2" borderId="2" xfId="0" applyNumberFormat="1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6" fillId="7" borderId="5" xfId="0" applyFont="1" applyFill="1" applyBorder="1" applyAlignment="1" applyProtection="1">
      <alignment horizontal="center" vertical="center" wrapText="1"/>
    </xf>
    <xf numFmtId="49" fontId="6" fillId="7" borderId="5" xfId="0" applyNumberFormat="1" applyFont="1" applyFill="1" applyBorder="1" applyAlignment="1" applyProtection="1">
      <alignment horizontal="center" vertical="center" wrapText="1"/>
    </xf>
    <xf numFmtId="49" fontId="6" fillId="7" borderId="5" xfId="0" applyNumberFormat="1" applyFont="1" applyFill="1" applyBorder="1" applyAlignment="1" applyProtection="1">
      <alignment horizontal="left" vertical="center" wrapText="1"/>
    </xf>
    <xf numFmtId="0" fontId="6" fillId="7" borderId="1" xfId="0" applyFont="1" applyFill="1" applyBorder="1" applyAlignment="1" applyProtection="1">
      <alignment horizontal="center" vertical="center" wrapText="1"/>
    </xf>
    <xf numFmtId="49" fontId="6" fillId="7" borderId="1" xfId="0" applyNumberFormat="1" applyFont="1" applyFill="1" applyBorder="1" applyAlignment="1" applyProtection="1">
      <alignment horizontal="center" vertical="center" wrapText="1"/>
    </xf>
    <xf numFmtId="49" fontId="6" fillId="7" borderId="1" xfId="0" applyNumberFormat="1" applyFont="1" applyFill="1" applyBorder="1" applyAlignment="1" applyProtection="1">
      <alignment horizontal="left" vertical="center" wrapText="1"/>
    </xf>
    <xf numFmtId="0" fontId="6" fillId="8" borderId="5" xfId="0" applyFont="1" applyFill="1" applyBorder="1" applyAlignment="1" applyProtection="1">
      <alignment horizontal="center" vertical="center" wrapText="1"/>
    </xf>
    <xf numFmtId="49" fontId="6" fillId="8" borderId="5" xfId="0" applyNumberFormat="1" applyFont="1" applyFill="1" applyBorder="1" applyAlignment="1" applyProtection="1">
      <alignment horizontal="center" vertical="center" wrapText="1"/>
    </xf>
    <xf numFmtId="9" fontId="6" fillId="8" borderId="5" xfId="6" applyFont="1" applyFill="1" applyBorder="1" applyAlignment="1" applyProtection="1">
      <alignment horizontal="center" vertical="center"/>
    </xf>
    <xf numFmtId="8" fontId="6" fillId="8" borderId="16" xfId="1" quotePrefix="1" applyNumberFormat="1" applyFont="1" applyFill="1" applyBorder="1" applyAlignment="1" applyProtection="1">
      <alignment horizontal="center" vertical="center" wrapText="1"/>
    </xf>
    <xf numFmtId="165" fontId="6" fillId="8" borderId="5" xfId="1" quotePrefix="1" applyNumberFormat="1" applyFont="1" applyFill="1" applyBorder="1" applyAlignment="1" applyProtection="1">
      <alignment horizontal="center" vertical="center" wrapText="1"/>
    </xf>
    <xf numFmtId="0" fontId="6" fillId="8" borderId="1" xfId="0" applyFont="1" applyFill="1" applyBorder="1" applyAlignment="1" applyProtection="1">
      <alignment horizontal="center" vertical="center" wrapText="1"/>
    </xf>
    <xf numFmtId="49" fontId="6" fillId="8" borderId="1" xfId="0" applyNumberFormat="1" applyFont="1" applyFill="1" applyBorder="1" applyAlignment="1" applyProtection="1">
      <alignment horizontal="center" vertical="center" wrapText="1"/>
    </xf>
    <xf numFmtId="9" fontId="6" fillId="8" borderId="1" xfId="6" applyFont="1" applyFill="1" applyBorder="1" applyAlignment="1" applyProtection="1">
      <alignment horizontal="center" vertical="center"/>
    </xf>
    <xf numFmtId="8" fontId="6" fillId="8" borderId="3" xfId="1" quotePrefix="1" applyNumberFormat="1" applyFont="1" applyFill="1" applyBorder="1" applyAlignment="1" applyProtection="1">
      <alignment horizontal="center" vertical="center" wrapText="1"/>
    </xf>
    <xf numFmtId="165" fontId="6" fillId="8" borderId="1" xfId="1" quotePrefix="1" applyNumberFormat="1" applyFont="1" applyFill="1" applyBorder="1" applyAlignment="1" applyProtection="1">
      <alignment horizontal="center" vertical="center" wrapText="1"/>
    </xf>
    <xf numFmtId="8" fontId="6" fillId="9" borderId="16" xfId="1" quotePrefix="1" applyNumberFormat="1" applyFont="1" applyFill="1" applyBorder="1" applyAlignment="1" applyProtection="1">
      <alignment horizontal="center" vertical="center" wrapText="1"/>
    </xf>
    <xf numFmtId="165" fontId="6" fillId="9" borderId="5" xfId="1" quotePrefix="1" applyNumberFormat="1" applyFont="1" applyFill="1" applyBorder="1" applyAlignment="1" applyProtection="1">
      <alignment horizontal="center" vertical="center" wrapText="1"/>
    </xf>
    <xf numFmtId="49" fontId="6" fillId="10" borderId="5" xfId="0" applyNumberFormat="1" applyFont="1" applyFill="1" applyBorder="1" applyAlignment="1" applyProtection="1">
      <alignment horizontal="center" vertical="center" wrapText="1"/>
    </xf>
    <xf numFmtId="49" fontId="6" fillId="10" borderId="5" xfId="0" applyNumberFormat="1" applyFont="1" applyFill="1" applyBorder="1" applyAlignment="1" applyProtection="1">
      <alignment vertical="center" wrapText="1"/>
    </xf>
    <xf numFmtId="49" fontId="6" fillId="10" borderId="5" xfId="0" applyNumberFormat="1" applyFont="1" applyFill="1" applyBorder="1" applyAlignment="1" applyProtection="1">
      <alignment horizontal="left" vertical="center" wrapText="1"/>
    </xf>
    <xf numFmtId="49" fontId="6" fillId="10" borderId="1" xfId="0" applyNumberFormat="1" applyFont="1" applyFill="1" applyBorder="1" applyAlignment="1" applyProtection="1">
      <alignment horizontal="center" vertical="center" wrapText="1"/>
    </xf>
    <xf numFmtId="49" fontId="6" fillId="10" borderId="1" xfId="0" applyNumberFormat="1" applyFont="1" applyFill="1" applyBorder="1" applyAlignment="1" applyProtection="1">
      <alignment vertical="center" wrapText="1"/>
    </xf>
    <xf numFmtId="49" fontId="6" fillId="10" borderId="1" xfId="0" applyNumberFormat="1" applyFont="1" applyFill="1" applyBorder="1" applyAlignment="1" applyProtection="1">
      <alignment horizontal="left" vertical="center" wrapText="1"/>
    </xf>
    <xf numFmtId="49" fontId="0" fillId="10" borderId="1" xfId="0" applyNumberFormat="1" applyFill="1" applyBorder="1" applyAlignment="1" applyProtection="1">
      <alignment vertical="center" wrapText="1"/>
    </xf>
    <xf numFmtId="38" fontId="0" fillId="9" borderId="0" xfId="0" applyNumberFormat="1" applyFill="1" applyAlignment="1">
      <alignment horizontal="center"/>
    </xf>
    <xf numFmtId="0" fontId="3" fillId="0" borderId="0" xfId="0" applyFont="1"/>
    <xf numFmtId="49" fontId="8" fillId="7" borderId="18" xfId="0" applyNumberFormat="1" applyFont="1" applyFill="1" applyBorder="1" applyAlignment="1" applyProtection="1">
      <alignment horizontal="center" vertical="center" wrapText="1"/>
    </xf>
    <xf numFmtId="49" fontId="8" fillId="8" borderId="18" xfId="0" applyNumberFormat="1" applyFont="1" applyFill="1" applyBorder="1" applyAlignment="1" applyProtection="1">
      <alignment horizontal="center" vertical="center" wrapText="1"/>
    </xf>
    <xf numFmtId="49" fontId="8" fillId="9" borderId="18" xfId="0" applyNumberFormat="1" applyFont="1" applyFill="1" applyBorder="1" applyAlignment="1" applyProtection="1">
      <alignment horizontal="center" vertical="center" wrapText="1"/>
    </xf>
    <xf numFmtId="49" fontId="8" fillId="10" borderId="18" xfId="0" applyNumberFormat="1" applyFont="1" applyFill="1" applyBorder="1" applyAlignment="1" applyProtection="1">
      <alignment horizontal="center" vertical="center" wrapText="1"/>
    </xf>
    <xf numFmtId="0" fontId="3" fillId="8" borderId="15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38" fontId="0" fillId="0" borderId="0" xfId="0" applyNumberFormat="1" applyFill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" fontId="0" fillId="0" borderId="32" xfId="0" quotePrefix="1" applyNumberFormat="1" applyBorder="1" applyAlignment="1">
      <alignment horizontal="center"/>
    </xf>
    <xf numFmtId="0" fontId="0" fillId="0" borderId="32" xfId="0" quotePrefix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8">
    <cellStyle name="Comma 2" xfId="4" xr:uid="{00000000-0005-0000-0000-000000000000}"/>
    <cellStyle name="Currency" xfId="1" builtinId="4"/>
    <cellStyle name="Normal" xfId="0" builtinId="0"/>
    <cellStyle name="Normal 2" xfId="2" xr:uid="{00000000-0005-0000-0000-000003000000}"/>
    <cellStyle name="Normal 2 2" xfId="3" xr:uid="{00000000-0005-0000-0000-000004000000}"/>
    <cellStyle name="Normal 2 2 2" xfId="7" xr:uid="{00000000-0005-0000-0000-000005000000}"/>
    <cellStyle name="Percent" xfId="6" builtinId="5"/>
    <cellStyle name="Percent 2" xfId="5" xr:uid="{00000000-0005-0000-0000-000007000000}"/>
  </cellStyles>
  <dxfs count="0"/>
  <tableStyles count="0" defaultTableStyle="TableStyleMedium2" defaultPivotStyle="PivotStyleLight16"/>
  <colors>
    <mruColors>
      <color rgb="FFFFFF99"/>
      <color rgb="FF6699FF"/>
      <color rgb="FF99CCFF"/>
      <color rgb="FF00CCFF"/>
      <color rgb="FF33CCFF"/>
      <color rgb="FF66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19</xdr:row>
      <xdr:rowOff>47625</xdr:rowOff>
    </xdr:from>
    <xdr:to>
      <xdr:col>9</xdr:col>
      <xdr:colOff>27960</xdr:colOff>
      <xdr:row>36</xdr:row>
      <xdr:rowOff>104363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3667125"/>
          <a:ext cx="4923810" cy="3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8</xdr:col>
      <xdr:colOff>418515</xdr:colOff>
      <xdr:row>18</xdr:row>
      <xdr:rowOff>151976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9600" y="190500"/>
          <a:ext cx="4685715" cy="33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18</xdr:col>
      <xdr:colOff>18438</xdr:colOff>
      <xdr:row>35</xdr:row>
      <xdr:rowOff>113477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96000" y="190500"/>
          <a:ext cx="4895238" cy="6590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BFFA-7E40-4F3F-8BEC-853F48E70494}">
  <dimension ref="A1:XEZ24"/>
  <sheetViews>
    <sheetView tabSelected="1" zoomScaleNormal="100" workbookViewId="0">
      <selection sqref="A1:D1"/>
    </sheetView>
  </sheetViews>
  <sheetFormatPr defaultRowHeight="15" x14ac:dyDescent="0.25"/>
  <cols>
    <col min="1" max="1" width="5.5703125" customWidth="1"/>
    <col min="2" max="2" width="5.85546875" customWidth="1"/>
    <col min="3" max="3" width="14.85546875" customWidth="1"/>
    <col min="4" max="4" width="37" customWidth="1"/>
    <col min="5" max="5" width="8" style="4" customWidth="1"/>
    <col min="6" max="6" width="6.85546875" customWidth="1"/>
    <col min="7" max="7" width="6.85546875" style="4" customWidth="1"/>
    <col min="8" max="8" width="8.85546875" style="4" customWidth="1"/>
    <col min="9" max="9" width="7.7109375" style="4" customWidth="1"/>
    <col min="10" max="10" width="10.42578125" customWidth="1"/>
    <col min="11" max="11" width="14.28515625" customWidth="1"/>
    <col min="12" max="12" width="10.7109375" customWidth="1"/>
    <col min="13" max="13" width="16.5703125" customWidth="1"/>
    <col min="14" max="14" width="7.5703125" customWidth="1"/>
    <col min="15" max="15" width="10.28515625" customWidth="1"/>
    <col min="16" max="16" width="29.85546875" customWidth="1"/>
    <col min="17" max="17" width="12.85546875" customWidth="1"/>
    <col min="18" max="18" width="20.5703125" customWidth="1"/>
    <col min="19" max="19" width="8.28515625" style="4" customWidth="1"/>
    <col min="20" max="20" width="12" customWidth="1"/>
    <col min="21" max="21" width="33.28515625" customWidth="1"/>
  </cols>
  <sheetData>
    <row r="1" spans="1:16380" s="57" customFormat="1" ht="15.75" thickBot="1" x14ac:dyDescent="0.3">
      <c r="A1" s="82" t="s">
        <v>67</v>
      </c>
      <c r="B1" s="83"/>
      <c r="C1" s="83"/>
      <c r="D1" s="84"/>
      <c r="E1" s="85" t="s">
        <v>68</v>
      </c>
      <c r="F1" s="86"/>
      <c r="G1" s="86"/>
      <c r="H1" s="86"/>
      <c r="I1" s="86"/>
      <c r="J1" s="86"/>
      <c r="K1" s="86"/>
      <c r="L1" s="87"/>
      <c r="M1" s="88" t="s">
        <v>70</v>
      </c>
      <c r="N1" s="89"/>
      <c r="O1" s="90" t="s">
        <v>71</v>
      </c>
      <c r="P1" s="91"/>
      <c r="Q1" s="62" t="s">
        <v>69</v>
      </c>
      <c r="R1" s="63" t="s">
        <v>29</v>
      </c>
    </row>
    <row r="2" spans="1:16380" s="8" customFormat="1" ht="48" thickBot="1" x14ac:dyDescent="0.3">
      <c r="A2" s="58" t="s">
        <v>9</v>
      </c>
      <c r="B2" s="58" t="s">
        <v>34</v>
      </c>
      <c r="C2" s="58" t="s">
        <v>6</v>
      </c>
      <c r="D2" s="58" t="s">
        <v>4</v>
      </c>
      <c r="E2" s="59" t="s">
        <v>30</v>
      </c>
      <c r="F2" s="59" t="s">
        <v>42</v>
      </c>
      <c r="G2" s="59" t="s">
        <v>59</v>
      </c>
      <c r="H2" s="59" t="s">
        <v>60</v>
      </c>
      <c r="I2" s="59" t="s">
        <v>35</v>
      </c>
      <c r="J2" s="59" t="s">
        <v>36</v>
      </c>
      <c r="K2" s="59" t="s">
        <v>28</v>
      </c>
      <c r="L2" s="59" t="s">
        <v>37</v>
      </c>
      <c r="M2" s="60" t="s">
        <v>38</v>
      </c>
      <c r="N2" s="60" t="s">
        <v>39</v>
      </c>
      <c r="O2" s="61" t="s">
        <v>15</v>
      </c>
      <c r="P2" s="61" t="s">
        <v>5</v>
      </c>
      <c r="Q2" s="59" t="s">
        <v>7</v>
      </c>
      <c r="R2" s="61" t="s">
        <v>16</v>
      </c>
      <c r="S2" s="12" t="s">
        <v>2</v>
      </c>
      <c r="T2" s="12" t="s">
        <v>10</v>
      </c>
      <c r="U2" s="12" t="s">
        <v>41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</row>
    <row r="3" spans="1:16380" ht="59.25" customHeight="1" x14ac:dyDescent="0.25">
      <c r="A3" s="31">
        <v>2</v>
      </c>
      <c r="B3" s="32" t="s">
        <v>12</v>
      </c>
      <c r="C3" s="32" t="s">
        <v>19</v>
      </c>
      <c r="D3" s="33" t="s">
        <v>17</v>
      </c>
      <c r="E3" s="37">
        <v>1.4</v>
      </c>
      <c r="F3" s="38" t="s">
        <v>32</v>
      </c>
      <c r="G3" s="38" t="s">
        <v>57</v>
      </c>
      <c r="H3" s="38" t="s">
        <v>57</v>
      </c>
      <c r="I3" s="38" t="s">
        <v>74</v>
      </c>
      <c r="J3" s="39">
        <v>0.5</v>
      </c>
      <c r="K3" s="40">
        <v>-300000</v>
      </c>
      <c r="L3" s="41">
        <v>-12</v>
      </c>
      <c r="M3" s="47">
        <f>+K3*J3</f>
        <v>-150000</v>
      </c>
      <c r="N3" s="48">
        <f>+J3*L3</f>
        <v>-6</v>
      </c>
      <c r="O3" s="49" t="s">
        <v>0</v>
      </c>
      <c r="P3" s="50" t="s">
        <v>22</v>
      </c>
      <c r="Q3" s="38" t="s">
        <v>3</v>
      </c>
      <c r="R3" s="51" t="s">
        <v>26</v>
      </c>
      <c r="S3" s="9" t="s">
        <v>40</v>
      </c>
      <c r="T3" s="10">
        <v>43983</v>
      </c>
      <c r="U3" s="11"/>
      <c r="V3" s="1"/>
      <c r="W3" s="1"/>
      <c r="X3" s="1"/>
      <c r="Y3" s="5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</row>
    <row r="4" spans="1:16380" ht="63.75" x14ac:dyDescent="0.25">
      <c r="A4" s="34">
        <v>1</v>
      </c>
      <c r="B4" s="35" t="s">
        <v>12</v>
      </c>
      <c r="C4" s="35" t="s">
        <v>11</v>
      </c>
      <c r="D4" s="36" t="s">
        <v>14</v>
      </c>
      <c r="E4" s="42">
        <v>1.2</v>
      </c>
      <c r="F4" s="43" t="s">
        <v>31</v>
      </c>
      <c r="G4" s="43" t="s">
        <v>56</v>
      </c>
      <c r="H4" s="43" t="s">
        <v>55</v>
      </c>
      <c r="I4" s="43" t="s">
        <v>58</v>
      </c>
      <c r="J4" s="44">
        <v>0.5</v>
      </c>
      <c r="K4" s="45">
        <v>-50000</v>
      </c>
      <c r="L4" s="46">
        <v>-4</v>
      </c>
      <c r="M4" s="47">
        <f t="shared" ref="M4:M5" si="0">+K4*J4</f>
        <v>-25000</v>
      </c>
      <c r="N4" s="48">
        <f t="shared" ref="N4:N5" si="1">+J4*L4</f>
        <v>-2</v>
      </c>
      <c r="O4" s="52" t="s">
        <v>1</v>
      </c>
      <c r="P4" s="53" t="s">
        <v>20</v>
      </c>
      <c r="Q4" s="43" t="s">
        <v>21</v>
      </c>
      <c r="R4" s="54" t="s">
        <v>25</v>
      </c>
      <c r="S4" s="2" t="s">
        <v>40</v>
      </c>
      <c r="T4" s="6">
        <v>44007</v>
      </c>
      <c r="U4" s="3" t="s">
        <v>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</row>
    <row r="5" spans="1:16380" ht="63.75" x14ac:dyDescent="0.25">
      <c r="A5" s="34">
        <v>3</v>
      </c>
      <c r="B5" s="35" t="s">
        <v>12</v>
      </c>
      <c r="C5" s="35" t="s">
        <v>13</v>
      </c>
      <c r="D5" s="36" t="s">
        <v>18</v>
      </c>
      <c r="E5" s="42">
        <v>1.3</v>
      </c>
      <c r="F5" s="43" t="s">
        <v>33</v>
      </c>
      <c r="G5" s="43" t="s">
        <v>75</v>
      </c>
      <c r="H5" s="43" t="s">
        <v>55</v>
      </c>
      <c r="I5" s="43" t="s">
        <v>55</v>
      </c>
      <c r="J5" s="44">
        <v>0.1</v>
      </c>
      <c r="K5" s="45">
        <v>-75000</v>
      </c>
      <c r="L5" s="46">
        <v>-4</v>
      </c>
      <c r="M5" s="47">
        <f t="shared" si="0"/>
        <v>-7500</v>
      </c>
      <c r="N5" s="48">
        <f t="shared" si="1"/>
        <v>-0.4</v>
      </c>
      <c r="O5" s="52" t="s">
        <v>0</v>
      </c>
      <c r="P5" s="55" t="s">
        <v>23</v>
      </c>
      <c r="Q5" s="43" t="s">
        <v>24</v>
      </c>
      <c r="R5" s="54" t="s">
        <v>27</v>
      </c>
      <c r="S5" s="2" t="s">
        <v>40</v>
      </c>
      <c r="T5" s="6">
        <v>43976</v>
      </c>
      <c r="U5" s="3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</row>
    <row r="6" spans="1:16380" x14ac:dyDescent="0.25">
      <c r="M6" s="56">
        <f>SUM(M3:M5)</f>
        <v>-182500</v>
      </c>
      <c r="N6" s="56">
        <f>SUM(N3:N5)</f>
        <v>-8.4</v>
      </c>
    </row>
    <row r="7" spans="1:16380" s="4" customFormat="1" x14ac:dyDescent="0.25">
      <c r="M7" s="64"/>
      <c r="N7" s="64"/>
    </row>
    <row r="8" spans="1:16380" s="4" customFormat="1" ht="15.75" thickBot="1" x14ac:dyDescent="0.3">
      <c r="M8" s="64"/>
      <c r="N8" s="64"/>
    </row>
    <row r="9" spans="1:16380" x14ac:dyDescent="0.25">
      <c r="J9" s="92" t="s">
        <v>72</v>
      </c>
      <c r="K9" s="93"/>
      <c r="L9" s="93"/>
      <c r="M9" s="94"/>
    </row>
    <row r="10" spans="1:16380" x14ac:dyDescent="0.25">
      <c r="J10" s="65" t="s">
        <v>65</v>
      </c>
      <c r="K10" s="15" t="s">
        <v>44</v>
      </c>
      <c r="L10" s="15" t="s">
        <v>28</v>
      </c>
      <c r="M10" s="66" t="s">
        <v>43</v>
      </c>
      <c r="N10" s="4"/>
    </row>
    <row r="11" spans="1:16380" x14ac:dyDescent="0.25">
      <c r="J11" s="67">
        <v>5</v>
      </c>
      <c r="K11" s="13" t="s">
        <v>48</v>
      </c>
      <c r="L11" s="13" t="s">
        <v>50</v>
      </c>
      <c r="M11" s="68" t="s">
        <v>64</v>
      </c>
      <c r="N11" s="4"/>
    </row>
    <row r="12" spans="1:16380" x14ac:dyDescent="0.25">
      <c r="J12" s="69">
        <v>4</v>
      </c>
      <c r="K12" s="14" t="s">
        <v>47</v>
      </c>
      <c r="L12" s="14" t="s">
        <v>49</v>
      </c>
      <c r="M12" s="70" t="s">
        <v>54</v>
      </c>
      <c r="N12" s="4"/>
    </row>
    <row r="13" spans="1:16380" x14ac:dyDescent="0.25">
      <c r="J13" s="69">
        <v>3</v>
      </c>
      <c r="K13" s="14" t="s">
        <v>66</v>
      </c>
      <c r="L13" s="14" t="s">
        <v>52</v>
      </c>
      <c r="M13" s="71" t="s">
        <v>61</v>
      </c>
      <c r="N13" s="4"/>
    </row>
    <row r="14" spans="1:16380" x14ac:dyDescent="0.25">
      <c r="J14" s="69">
        <v>2</v>
      </c>
      <c r="K14" s="14" t="s">
        <v>45</v>
      </c>
      <c r="L14" s="14" t="s">
        <v>51</v>
      </c>
      <c r="M14" s="71" t="s">
        <v>62</v>
      </c>
      <c r="N14" s="4"/>
    </row>
    <row r="15" spans="1:16380" ht="15.75" thickBot="1" x14ac:dyDescent="0.3">
      <c r="E15"/>
      <c r="G15"/>
      <c r="J15" s="72">
        <v>1</v>
      </c>
      <c r="K15" s="73" t="s">
        <v>46</v>
      </c>
      <c r="L15" s="73" t="s">
        <v>53</v>
      </c>
      <c r="M15" s="74" t="s">
        <v>63</v>
      </c>
      <c r="N15" s="4"/>
    </row>
    <row r="16" spans="1:16380" ht="15.75" thickBot="1" x14ac:dyDescent="0.3">
      <c r="E16"/>
      <c r="G16"/>
    </row>
    <row r="17" spans="5:10" x14ac:dyDescent="0.25">
      <c r="E17" s="92" t="s">
        <v>73</v>
      </c>
      <c r="F17" s="93"/>
      <c r="G17" s="93"/>
      <c r="H17" s="93"/>
      <c r="I17" s="93"/>
      <c r="J17" s="94"/>
    </row>
    <row r="18" spans="5:10" ht="15.75" thickBot="1" x14ac:dyDescent="0.3">
      <c r="E18" s="21" t="s">
        <v>59</v>
      </c>
      <c r="F18" s="79" t="s">
        <v>65</v>
      </c>
      <c r="G18" s="80"/>
      <c r="H18" s="80"/>
      <c r="I18" s="80"/>
      <c r="J18" s="81"/>
    </row>
    <row r="19" spans="5:10" x14ac:dyDescent="0.25">
      <c r="E19" s="16">
        <v>5</v>
      </c>
      <c r="F19" s="26">
        <v>5</v>
      </c>
      <c r="G19" s="24">
        <v>10</v>
      </c>
      <c r="H19" s="23">
        <v>15</v>
      </c>
      <c r="I19" s="23">
        <v>20</v>
      </c>
      <c r="J19" s="75">
        <v>25</v>
      </c>
    </row>
    <row r="20" spans="5:10" x14ac:dyDescent="0.25">
      <c r="E20" s="17">
        <v>4</v>
      </c>
      <c r="F20" s="27">
        <v>4</v>
      </c>
      <c r="G20" s="25">
        <v>8</v>
      </c>
      <c r="H20" s="25">
        <v>12</v>
      </c>
      <c r="I20" s="22">
        <v>16</v>
      </c>
      <c r="J20" s="76">
        <v>20</v>
      </c>
    </row>
    <row r="21" spans="5:10" x14ac:dyDescent="0.25">
      <c r="E21" s="17">
        <v>3</v>
      </c>
      <c r="F21" s="27">
        <v>3</v>
      </c>
      <c r="G21" s="29">
        <v>6</v>
      </c>
      <c r="H21" s="25">
        <v>9</v>
      </c>
      <c r="I21" s="25">
        <v>12</v>
      </c>
      <c r="J21" s="76">
        <v>15</v>
      </c>
    </row>
    <row r="22" spans="5:10" x14ac:dyDescent="0.25">
      <c r="E22" s="17">
        <v>2</v>
      </c>
      <c r="F22" s="27">
        <v>2</v>
      </c>
      <c r="G22" s="29">
        <v>4</v>
      </c>
      <c r="H22" s="25">
        <v>6</v>
      </c>
      <c r="I22" s="25">
        <v>8</v>
      </c>
      <c r="J22" s="77">
        <v>10</v>
      </c>
    </row>
    <row r="23" spans="5:10" ht="15.75" thickBot="1" x14ac:dyDescent="0.3">
      <c r="E23" s="17">
        <v>1</v>
      </c>
      <c r="F23" s="28">
        <v>1</v>
      </c>
      <c r="G23" s="30">
        <v>2</v>
      </c>
      <c r="H23" s="30">
        <v>3</v>
      </c>
      <c r="I23" s="30">
        <v>4</v>
      </c>
      <c r="J23" s="78">
        <v>5</v>
      </c>
    </row>
    <row r="24" spans="5:10" ht="15.75" thickBot="1" x14ac:dyDescent="0.3">
      <c r="E24" s="21" t="s">
        <v>60</v>
      </c>
      <c r="F24" s="18">
        <v>1</v>
      </c>
      <c r="G24" s="19">
        <v>2</v>
      </c>
      <c r="H24" s="19">
        <v>3</v>
      </c>
      <c r="I24" s="19">
        <v>4</v>
      </c>
      <c r="J24" s="20">
        <v>5</v>
      </c>
    </row>
  </sheetData>
  <mergeCells count="7">
    <mergeCell ref="F18:J18"/>
    <mergeCell ref="A1:D1"/>
    <mergeCell ref="E1:L1"/>
    <mergeCell ref="M1:N1"/>
    <mergeCell ref="O1:P1"/>
    <mergeCell ref="J9:M9"/>
    <mergeCell ref="E17:J17"/>
  </mergeCells>
  <dataValidations count="2">
    <dataValidation type="list" allowBlank="1" showInputMessage="1" showErrorMessage="1" sqref="O3:O5 B3:B5" xr:uid="{99B88EF3-1BCB-436A-8D65-64E6E011B1B2}">
      <formula1>#REF!</formula1>
    </dataValidation>
    <dataValidation allowBlank="1" showErrorMessage="1" promptTitle="Risk Status" prompt="This is the current status of the risk element_x000a__x000a_Active = Risk is being actively monitored and controlled_x000a__x000a_Dormant = Risk is not currently a high priority, but may become active in the future_x000a__x000a_Retired = Risk is no longer a threat to project objectives" sqref="T3:T5" xr:uid="{6F906B59-87C0-4BFB-A920-777B8D27B91D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N52" sqref="N52"/>
    </sheetView>
  </sheetViews>
  <sheetFormatPr defaultRowHeight="15" x14ac:dyDescent="0.25"/>
  <sheetData/>
  <customSheetViews>
    <customSheetView guid="{426594F0-BD78-494B-83F5-6715BCF3F934}">
      <selection activeCell="K2" sqref="K2"/>
      <pageMargins left="0.7" right="0.7" top="0.75" bottom="0.75" header="0.3" footer="0.3"/>
    </customSheetView>
    <customSheetView guid="{AAE5F1F5-23DF-4A1C-A14D-1A683FBAD0A0}">
      <selection activeCell="K2" sqref="K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0BD83B02F8A43A8952A9CEE7E49CB" ma:contentTypeVersion="2" ma:contentTypeDescription="Create a new document." ma:contentTypeScope="" ma:versionID="f0fc9f0f74d850d9d21e2df4ff29b553">
  <xsd:schema xmlns:xsd="http://www.w3.org/2001/XMLSchema" xmlns:xs="http://www.w3.org/2001/XMLSchema" xmlns:p="http://schemas.microsoft.com/office/2006/metadata/properties" xmlns:ns2="4cfaab2b-e3b6-4197-825c-518ca9d7adff" targetNamespace="http://schemas.microsoft.com/office/2006/metadata/properties" ma:root="true" ma:fieldsID="fe1c448ee6c262c6d2676c9c377f361a" ns2:_="">
    <xsd:import namespace="4cfaab2b-e3b6-4197-825c-518ca9d7adf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aab2b-e3b6-4197-825c-518ca9d7ad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49A2A82-36B9-43D0-826E-6E3AE6624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faab2b-e3b6-4197-825c-518ca9d7a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A02F0-F5A4-4919-A7CB-1CD08DB02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5B82F-2EE5-402F-802A-8AD8F9166214}">
  <ds:schemaRefs>
    <ds:schemaRef ds:uri="http://purl.org/dc/terms/"/>
    <ds:schemaRef ds:uri="http://purl.org/dc/elements/1.1/"/>
    <ds:schemaRef ds:uri="http://schemas.microsoft.com/office/2006/documentManagement/types"/>
    <ds:schemaRef ds:uri="4cfaab2b-e3b6-4197-825c-518ca9d7adff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RR</vt:lpstr>
      <vt:lpstr>Risk Allocation</vt:lpstr>
    </vt:vector>
  </TitlesOfParts>
  <Company>TxDOT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 template</dc:title>
  <dc:creator>Michael Watry</dc:creator>
  <cp:lastModifiedBy>Christa Ikona</cp:lastModifiedBy>
  <cp:lastPrinted>2015-09-15T17:46:07Z</cp:lastPrinted>
  <dcterms:created xsi:type="dcterms:W3CDTF">2013-01-07T23:17:31Z</dcterms:created>
  <dcterms:modified xsi:type="dcterms:W3CDTF">2021-06-26T19:46:13Z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0x010100A400BD83B02F8A43A8952A9CEE7E49CB</vt:lpwstr>
  </property>
  <property fmtid="{D5CDD505-2E9C-101B-9397-08002B2CF9AE}" pid="3" name="Document_x0020_Class">
    <vt:lpwstr>4;#Project Management|de242f80-6bef-4248-af56-8ba58227aa56</vt:lpwstr>
  </property>
  <property fmtid="{D5CDD505-2E9C-101B-9397-08002B2CF9AE}" pid="4" name="Record Type">
    <vt:lpwstr>5;#Project Management-Non IT|4e6bf270-fa1e-4aef-83da-c3f1edd9b39f</vt:lpwstr>
  </property>
  <property fmtid="{D5CDD505-2E9C-101B-9397-08002B2CF9AE}" pid="5" name="Record_x0020_Type">
    <vt:lpwstr>5;#Project Management-Non IT|4e6bf270-fa1e-4aef-83da-c3f1edd9b39f</vt:lpwstr>
  </property>
  <property fmtid="{D5CDD505-2E9C-101B-9397-08002B2CF9AE}" pid="6" name="Document Class">
    <vt:lpwstr>4;#Project Management|de242f80-6bef-4248-af56-8ba58227aa56</vt:lpwstr>
  </property>
  <property fmtid="{D5CDD505-2E9C-101B-9397-08002B2CF9AE}" pid="7" name="_dlc_DocIdItemGuid">
    <vt:lpwstr>73c11ec8-1c75-4fc1-9acc-fc3b32e73f79</vt:lpwstr>
  </property>
  <property fmtid="{D5CDD505-2E9C-101B-9397-08002B2CF9AE}" pid="8" name="PcE4 File Structure">
    <vt:lpwstr>217;#Support Document|c6664123-6930-4560-b230-13c1ba38ef85</vt:lpwstr>
  </property>
  <property fmtid="{D5CDD505-2E9C-101B-9397-08002B2CF9AE}" pid="9" name="TaxCatchAll">
    <vt:lpwstr>5;#Project Management-Non IT|4e6bf270-fa1e-4aef-83da-c3f1edd9b39f;#4;#Project Management|de242f80-6bef-4248-af56-8ba58227aa56</vt:lpwstr>
  </property>
  <property fmtid="{D5CDD505-2E9C-101B-9397-08002B2CF9AE}" pid="10" name="l3edd206b2404d7088c6bd8e3f838ea5">
    <vt:lpwstr>Project Management|de242f80-6bef-4248-af56-8ba58227aa56</vt:lpwstr>
  </property>
  <property fmtid="{D5CDD505-2E9C-101B-9397-08002B2CF9AE}" pid="11" name="leb995e917a44b669b3013b9a5d25141">
    <vt:lpwstr>Project Management-Non IT|4e6bf270-fa1e-4aef-83da-c3f1edd9b39f</vt:lpwstr>
  </property>
</Properties>
</file>